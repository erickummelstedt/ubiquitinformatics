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eimajima/Library/CloudStorage/Dropbox/お論文_TM:SM shared/00_automation_manuscript/figures/scheme/"/>
    </mc:Choice>
  </mc:AlternateContent>
  <xr:revisionPtr revIDLastSave="0" documentId="13_ncr:1_{B9BADB5D-2121-1347-863E-E93410A964F9}" xr6:coauthVersionLast="47" xr6:coauthVersionMax="47" xr10:uidLastSave="{00000000-0000-0000-0000-000000000000}"/>
  <bookViews>
    <workbookView xWindow="1180" yWindow="640" windowWidth="24040" windowHeight="18480" xr2:uid="{4302E5F9-36F4-7A40-9233-4959CC84D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1" i="1"/>
  <c r="B10" i="1"/>
  <c r="B3" i="1"/>
  <c r="B29" i="1"/>
  <c r="B31" i="1"/>
  <c r="B34" i="1"/>
  <c r="B36" i="1"/>
  <c r="B37" i="1"/>
  <c r="B38" i="1"/>
  <c r="B39" i="1"/>
  <c r="B41" i="1"/>
  <c r="B42" i="1"/>
  <c r="B43" i="1"/>
  <c r="B28" i="1"/>
  <c r="B27" i="1"/>
  <c r="B25" i="1"/>
  <c r="B24" i="1"/>
  <c r="B16" i="1"/>
</calcChain>
</file>

<file path=xl/sharedStrings.xml><?xml version="1.0" encoding="utf-8"?>
<sst xmlns="http://schemas.openxmlformats.org/spreadsheetml/2006/main" count="53" uniqueCount="53">
  <si>
    <t>higher bands</t>
  </si>
  <si>
    <t>pentamer</t>
    <phoneticPr fontId="1"/>
  </si>
  <si>
    <r>
      <t>Ub4-8 (</t>
    </r>
    <r>
      <rPr>
        <sz val="12"/>
        <color theme="1"/>
        <rFont val="MS Mincho"/>
        <family val="2"/>
        <charset val="128"/>
      </rPr>
      <t>コ）</t>
    </r>
    <phoneticPr fontId="1"/>
  </si>
  <si>
    <t>Ub4-5 (zig-zag</t>
    <phoneticPr fontId="1"/>
  </si>
  <si>
    <t>Ub4-9 (bottom branch</t>
    <phoneticPr fontId="1"/>
  </si>
  <si>
    <t>Ub4-7 ©</t>
    <phoneticPr fontId="1"/>
  </si>
  <si>
    <t>Ub4-6 (hetro</t>
    <phoneticPr fontId="1"/>
  </si>
  <si>
    <t>br trimer</t>
    <phoneticPr fontId="1"/>
  </si>
  <si>
    <t>hetero trimer</t>
    <phoneticPr fontId="1"/>
  </si>
  <si>
    <t>linear trimer</t>
    <phoneticPr fontId="1"/>
  </si>
  <si>
    <t>dimer</t>
    <phoneticPr fontId="1"/>
  </si>
  <si>
    <t>Ub5-15</t>
    <phoneticPr fontId="1"/>
  </si>
  <si>
    <t>Ub5-16</t>
    <phoneticPr fontId="1"/>
  </si>
  <si>
    <t>Ub5-17</t>
  </si>
  <si>
    <t>Ub5-18</t>
  </si>
  <si>
    <t>Ub5-19</t>
  </si>
  <si>
    <t>Ub5-20</t>
  </si>
  <si>
    <t>Ub5-21</t>
  </si>
  <si>
    <t>Ub5-22</t>
  </si>
  <si>
    <t>Ub5-23</t>
  </si>
  <si>
    <t>Ub5-24</t>
  </si>
  <si>
    <t>Ub5-25</t>
  </si>
  <si>
    <t>Ub5-26</t>
  </si>
  <si>
    <t>Ub5-27</t>
  </si>
  <si>
    <t>Ub5-28</t>
  </si>
  <si>
    <t>Ub5-29</t>
  </si>
  <si>
    <t>Ub5-30</t>
  </si>
  <si>
    <t>Ub5-31</t>
  </si>
  <si>
    <t>Ub5-32</t>
  </si>
  <si>
    <t>Ub5-33</t>
  </si>
  <si>
    <t>Ub5-34</t>
  </si>
  <si>
    <t>Ub5-35</t>
  </si>
  <si>
    <t>Ub5-36</t>
  </si>
  <si>
    <t>Ub5-37</t>
  </si>
  <si>
    <t>Ub5-38</t>
  </si>
  <si>
    <t>Ub5-39</t>
  </si>
  <si>
    <t>Ub5-40</t>
  </si>
  <si>
    <t>Ub5-41</t>
  </si>
  <si>
    <t>Ub5-42</t>
  </si>
  <si>
    <t>Ub5-1</t>
    <phoneticPr fontId="1"/>
  </si>
  <si>
    <t>Ub5-2</t>
    <phoneticPr fontId="1"/>
  </si>
  <si>
    <t>Ub5-3</t>
  </si>
  <si>
    <t>Ub5-4</t>
  </si>
  <si>
    <t>Ub5-5</t>
  </si>
  <si>
    <t>Ub5-6</t>
  </si>
  <si>
    <t>Ub5-7</t>
  </si>
  <si>
    <t>Ub5-8</t>
  </si>
  <si>
    <t>Ub5-9</t>
  </si>
  <si>
    <t>Ub5-10</t>
  </si>
  <si>
    <t>Ub5-11</t>
  </si>
  <si>
    <t>Ub5-12</t>
  </si>
  <si>
    <t>Ub5-13</t>
  </si>
  <si>
    <t>Ub5-14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</si>
</sst>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HelveticaNeue"/>
      <family val="2"/>
      <charset val="128"/>
    </font>
    <font>
      <sz val="6"/>
      <name val="HelveticaNeue"/>
      <family val="2"/>
      <charset val="128"/>
    </font>
    <font>
      <sz val="12"/>
      <color theme="1"/>
      <name val="MS Mincho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3" fontId="0" fillId="3" borderId="0" xfId="0" applyNumberFormat="1" applyFill="1">
      <alignment vertical="center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7D2C-7003-4C42-9BB3-348F66F7499A}">
  <dimension ref="A1:L43"/>
  <sheetViews>
    <sheetView tabSelected="1" workbookViewId="0">
      <pane ySplit="1" topLeftCell="A5" activePane="bottomLeft" state="frozen"/>
      <selection pane="bottomLeft" activeCell="F15" sqref="F15"/>
    </sheetView>
  </sheetViews>
  <sheetFormatPr baseColWidth="10" defaultRowHeight="16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s="2" t="s">
        <v>39</v>
      </c>
      <c r="B2" s="2"/>
      <c r="C2" s="3">
        <v>310170</v>
      </c>
      <c r="D2" s="2"/>
      <c r="E2" s="3">
        <v>611835</v>
      </c>
      <c r="F2" s="2"/>
      <c r="G2" s="2"/>
      <c r="H2" s="2"/>
      <c r="I2" s="3">
        <v>163310</v>
      </c>
      <c r="J2" s="2"/>
      <c r="K2" s="2"/>
      <c r="L2" s="3">
        <v>152530</v>
      </c>
    </row>
    <row r="3" spans="1:12">
      <c r="A3" t="s">
        <v>40</v>
      </c>
      <c r="B3" s="4">
        <f>309690+9083</f>
        <v>318773</v>
      </c>
      <c r="C3" s="4">
        <v>816850</v>
      </c>
      <c r="E3" s="4">
        <v>189999</v>
      </c>
      <c r="G3" s="4">
        <v>601183</v>
      </c>
      <c r="I3" s="4">
        <v>205995</v>
      </c>
      <c r="L3" s="4">
        <v>224347</v>
      </c>
    </row>
    <row r="4" spans="1:12">
      <c r="A4" s="2" t="s">
        <v>41</v>
      </c>
      <c r="B4" s="2"/>
      <c r="C4" s="3">
        <v>1938911</v>
      </c>
      <c r="D4" s="2"/>
      <c r="E4" s="3">
        <v>578569</v>
      </c>
      <c r="F4" s="2"/>
      <c r="G4" s="3">
        <v>423576</v>
      </c>
      <c r="H4" s="2"/>
      <c r="I4" s="3">
        <v>449254</v>
      </c>
      <c r="J4" s="2"/>
      <c r="K4" s="2"/>
      <c r="L4" s="3">
        <v>447552</v>
      </c>
    </row>
    <row r="5" spans="1:12">
      <c r="A5" t="s">
        <v>42</v>
      </c>
      <c r="B5" s="4">
        <v>371926</v>
      </c>
      <c r="C5" s="4">
        <v>875432</v>
      </c>
      <c r="E5" s="4">
        <v>719610</v>
      </c>
      <c r="J5" s="4">
        <v>213996</v>
      </c>
      <c r="K5" s="4"/>
      <c r="L5" s="4">
        <v>6358</v>
      </c>
    </row>
    <row r="6" spans="1:12">
      <c r="A6" s="2" t="s">
        <v>43</v>
      </c>
      <c r="B6" s="3">
        <v>173569</v>
      </c>
      <c r="C6" s="3">
        <v>585931</v>
      </c>
      <c r="D6" s="2"/>
      <c r="E6" s="3">
        <v>505672</v>
      </c>
      <c r="F6" s="2"/>
      <c r="G6" s="2"/>
      <c r="H6" s="2"/>
      <c r="I6" s="3">
        <v>113522</v>
      </c>
      <c r="J6" s="2"/>
      <c r="K6" s="2"/>
      <c r="L6" s="3">
        <v>12493</v>
      </c>
    </row>
    <row r="7" spans="1:12">
      <c r="A7" t="s">
        <v>44</v>
      </c>
      <c r="C7" s="4">
        <v>1229576</v>
      </c>
      <c r="G7" s="4">
        <v>449616</v>
      </c>
      <c r="I7" s="4">
        <v>418574</v>
      </c>
      <c r="L7" s="4">
        <v>100300</v>
      </c>
    </row>
    <row r="8" spans="1:12">
      <c r="A8" s="2" t="s">
        <v>45</v>
      </c>
      <c r="B8" s="3">
        <v>25200</v>
      </c>
      <c r="C8" s="3">
        <v>1047305</v>
      </c>
      <c r="D8" s="2"/>
      <c r="E8" s="2"/>
      <c r="F8" s="2"/>
      <c r="G8" s="3">
        <v>431165</v>
      </c>
      <c r="H8" s="2"/>
      <c r="I8" s="3">
        <v>9380</v>
      </c>
      <c r="J8" s="2"/>
      <c r="K8" s="2"/>
      <c r="L8" s="3">
        <v>262185</v>
      </c>
    </row>
    <row r="9" spans="1:12">
      <c r="A9" t="s">
        <v>46</v>
      </c>
      <c r="B9" s="4">
        <v>172340</v>
      </c>
      <c r="C9" s="4">
        <v>1813560</v>
      </c>
      <c r="D9" s="4">
        <v>640815</v>
      </c>
      <c r="J9" s="4">
        <v>576170</v>
      </c>
      <c r="K9" s="4"/>
      <c r="L9" s="4">
        <v>2030</v>
      </c>
    </row>
    <row r="10" spans="1:12">
      <c r="A10" s="2" t="s">
        <v>47</v>
      </c>
      <c r="B10" s="3">
        <f>189618+698313+35079</f>
        <v>923010</v>
      </c>
      <c r="C10" s="3">
        <v>1056627</v>
      </c>
      <c r="D10" s="2"/>
      <c r="E10" s="2"/>
      <c r="F10" s="3">
        <v>235290</v>
      </c>
      <c r="G10" s="2"/>
      <c r="H10" s="3">
        <v>43395</v>
      </c>
      <c r="I10" s="3"/>
      <c r="J10" s="2"/>
      <c r="K10" s="2"/>
      <c r="L10" s="3">
        <v>1221</v>
      </c>
    </row>
    <row r="11" spans="1:12">
      <c r="A11" t="s">
        <v>48</v>
      </c>
      <c r="B11" s="4">
        <f>850408+485520</f>
        <v>1335928</v>
      </c>
      <c r="C11" s="4">
        <v>2294796</v>
      </c>
      <c r="D11" s="4">
        <v>479196</v>
      </c>
      <c r="I11" s="4">
        <v>21420</v>
      </c>
      <c r="L11">
        <v>986</v>
      </c>
    </row>
    <row r="12" spans="1:12">
      <c r="A12" s="2" t="s">
        <v>49</v>
      </c>
      <c r="B12" s="3">
        <v>383420</v>
      </c>
      <c r="C12" s="3">
        <v>909530</v>
      </c>
      <c r="D12" s="3">
        <v>102144</v>
      </c>
      <c r="E12" s="2"/>
      <c r="F12" s="3"/>
      <c r="G12" s="2"/>
      <c r="H12" s="2"/>
      <c r="I12" s="2"/>
      <c r="J12" s="2"/>
      <c r="K12" s="2"/>
      <c r="L12" s="2">
        <v>798</v>
      </c>
    </row>
    <row r="13" spans="1:12">
      <c r="A13" t="s">
        <v>50</v>
      </c>
      <c r="B13" s="4">
        <f>257176+91264+89311</f>
        <v>437751</v>
      </c>
      <c r="C13" s="4">
        <v>409851</v>
      </c>
      <c r="D13">
        <v>8835</v>
      </c>
      <c r="F13">
        <v>14725</v>
      </c>
      <c r="H13" s="4">
        <v>22134</v>
      </c>
      <c r="L13" s="4">
        <v>9827</v>
      </c>
    </row>
    <row r="14" spans="1:12">
      <c r="A14" s="2" t="s">
        <v>51</v>
      </c>
      <c r="B14" s="2">
        <v>146720</v>
      </c>
      <c r="C14" s="3">
        <v>540820</v>
      </c>
      <c r="D14" s="2"/>
      <c r="E14" s="2"/>
      <c r="F14" s="3">
        <v>144375</v>
      </c>
      <c r="G14" s="2"/>
      <c r="H14" s="3">
        <v>20475</v>
      </c>
      <c r="I14" s="2"/>
      <c r="J14" s="2"/>
      <c r="K14" s="3"/>
      <c r="L14" s="3">
        <v>455</v>
      </c>
    </row>
    <row r="15" spans="1:12">
      <c r="A15" t="s">
        <v>52</v>
      </c>
      <c r="B15">
        <v>238821</v>
      </c>
      <c r="C15" s="4">
        <v>620994</v>
      </c>
      <c r="F15" s="4">
        <v>307230</v>
      </c>
      <c r="K15" s="4">
        <v>7425</v>
      </c>
      <c r="L15" s="4">
        <v>18612</v>
      </c>
    </row>
    <row r="16" spans="1:12">
      <c r="A16" s="1" t="s">
        <v>11</v>
      </c>
      <c r="B16" s="1">
        <f>1034372+688533</f>
        <v>1722905</v>
      </c>
      <c r="C16" s="1">
        <v>9028222</v>
      </c>
      <c r="D16" s="1"/>
      <c r="E16" s="1">
        <v>7363740</v>
      </c>
      <c r="F16" s="1"/>
      <c r="G16" s="1"/>
      <c r="H16" s="1"/>
      <c r="I16" s="1"/>
      <c r="J16" s="1">
        <v>6491317</v>
      </c>
      <c r="K16" s="1"/>
      <c r="L16" s="1">
        <v>2862579</v>
      </c>
    </row>
    <row r="17" spans="1:12">
      <c r="A17" t="s">
        <v>12</v>
      </c>
      <c r="B17">
        <v>3729390</v>
      </c>
      <c r="C17">
        <v>19754280</v>
      </c>
      <c r="E17">
        <v>9957745</v>
      </c>
      <c r="J17">
        <v>15007475</v>
      </c>
      <c r="L17">
        <v>1718535</v>
      </c>
    </row>
    <row r="18" spans="1:12">
      <c r="A18" s="1" t="s">
        <v>13</v>
      </c>
      <c r="B18" s="1">
        <v>2190168</v>
      </c>
      <c r="C18" s="1">
        <v>15767640</v>
      </c>
      <c r="D18" s="1"/>
      <c r="E18" s="1">
        <v>2900736</v>
      </c>
      <c r="F18" s="1"/>
      <c r="G18" s="1"/>
      <c r="H18" s="1">
        <v>978408</v>
      </c>
      <c r="I18" s="1"/>
      <c r="J18" s="1">
        <v>4984920</v>
      </c>
      <c r="K18" s="1"/>
      <c r="L18" s="1">
        <v>2163672</v>
      </c>
    </row>
    <row r="19" spans="1:12">
      <c r="A19" t="s">
        <v>14</v>
      </c>
      <c r="B19">
        <v>2257185</v>
      </c>
      <c r="C19">
        <v>14551397</v>
      </c>
      <c r="G19">
        <v>4553590</v>
      </c>
      <c r="I19">
        <v>3202757</v>
      </c>
      <c r="L19">
        <v>1906795</v>
      </c>
    </row>
    <row r="20" spans="1:12">
      <c r="A20" s="1" t="s">
        <v>15</v>
      </c>
      <c r="B20" s="1">
        <v>2496096</v>
      </c>
      <c r="C20" s="1">
        <v>21119544</v>
      </c>
      <c r="D20" s="1"/>
      <c r="E20" s="1">
        <v>573984</v>
      </c>
      <c r="F20" s="1"/>
      <c r="G20" s="1"/>
      <c r="H20" s="1">
        <v>6646716</v>
      </c>
      <c r="I20" s="1"/>
      <c r="J20" s="1">
        <v>7723008</v>
      </c>
      <c r="K20" s="1"/>
      <c r="L20" s="1">
        <v>1737396</v>
      </c>
    </row>
    <row r="21" spans="1:12">
      <c r="A21" t="s">
        <v>16</v>
      </c>
      <c r="B21">
        <v>739518</v>
      </c>
      <c r="C21">
        <v>22211631</v>
      </c>
      <c r="H21">
        <v>11439714</v>
      </c>
      <c r="J21">
        <v>6017271</v>
      </c>
      <c r="L21">
        <v>995085</v>
      </c>
    </row>
    <row r="22" spans="1:12">
      <c r="A22" s="1" t="s">
        <v>17</v>
      </c>
      <c r="B22" s="1">
        <v>2585505</v>
      </c>
      <c r="C22" s="1">
        <v>14699412</v>
      </c>
      <c r="D22" s="1"/>
      <c r="E22" s="1"/>
      <c r="F22" s="1"/>
      <c r="G22" s="1">
        <v>5083104</v>
      </c>
      <c r="H22" s="1"/>
      <c r="I22" s="1">
        <v>956631</v>
      </c>
      <c r="J22" s="1"/>
      <c r="K22" s="1"/>
      <c r="L22" s="1">
        <v>205452</v>
      </c>
    </row>
    <row r="23" spans="1:12">
      <c r="A23" t="s">
        <v>18</v>
      </c>
      <c r="B23">
        <v>544122</v>
      </c>
      <c r="C23">
        <v>15287628</v>
      </c>
      <c r="D23">
        <v>4254290</v>
      </c>
      <c r="G23">
        <v>4256912</v>
      </c>
      <c r="I23">
        <v>6694194</v>
      </c>
      <c r="L23">
        <v>1898556</v>
      </c>
    </row>
    <row r="24" spans="1:12">
      <c r="A24" s="1" t="s">
        <v>19</v>
      </c>
      <c r="B24" s="1">
        <f>1505522+3464194</f>
        <v>4969716</v>
      </c>
      <c r="C24" s="1">
        <v>20181914</v>
      </c>
      <c r="D24" s="1"/>
      <c r="E24" s="1"/>
      <c r="F24" s="1">
        <v>8476926</v>
      </c>
      <c r="G24" s="1"/>
      <c r="H24" s="1"/>
      <c r="I24" s="1"/>
      <c r="J24" s="1"/>
      <c r="K24" s="1">
        <v>2408630</v>
      </c>
      <c r="L24" s="1">
        <v>1227742</v>
      </c>
    </row>
    <row r="25" spans="1:12">
      <c r="A25" t="s">
        <v>20</v>
      </c>
      <c r="B25">
        <f>1127834+3047542</f>
        <v>4175376</v>
      </c>
      <c r="C25">
        <v>18149203</v>
      </c>
      <c r="D25">
        <v>12034583</v>
      </c>
      <c r="I25">
        <v>5597027</v>
      </c>
      <c r="L25">
        <v>2252930</v>
      </c>
    </row>
    <row r="26" spans="1:12">
      <c r="A26" s="1" t="s">
        <v>21</v>
      </c>
      <c r="B26" s="1">
        <v>3392716</v>
      </c>
      <c r="C26" s="1">
        <v>13358558</v>
      </c>
      <c r="D26" s="1">
        <v>2750364</v>
      </c>
      <c r="E26" s="1"/>
      <c r="F26" s="1"/>
      <c r="G26" s="1"/>
      <c r="H26" s="1"/>
      <c r="I26" s="1">
        <v>3228746</v>
      </c>
      <c r="J26" s="1"/>
      <c r="K26" s="1"/>
      <c r="L26" s="1">
        <v>1030712</v>
      </c>
    </row>
    <row r="27" spans="1:12">
      <c r="A27" t="s">
        <v>22</v>
      </c>
      <c r="B27">
        <f>615779+2681359</f>
        <v>3297138</v>
      </c>
      <c r="C27">
        <v>9987846</v>
      </c>
      <c r="D27">
        <v>1867919</v>
      </c>
      <c r="I27">
        <v>1490596</v>
      </c>
      <c r="L27">
        <v>1123318</v>
      </c>
    </row>
    <row r="28" spans="1:12">
      <c r="A28" s="1" t="s">
        <v>23</v>
      </c>
      <c r="B28" s="1">
        <f>925111+5712948</f>
        <v>6638059</v>
      </c>
      <c r="C28" s="1">
        <v>19051522</v>
      </c>
      <c r="D28" s="1"/>
      <c r="E28" s="1"/>
      <c r="F28" s="1">
        <v>11611266</v>
      </c>
      <c r="G28" s="1"/>
      <c r="H28" s="1"/>
      <c r="I28" s="1">
        <v>7244341</v>
      </c>
      <c r="J28" s="1"/>
      <c r="K28" s="1">
        <v>1532503</v>
      </c>
      <c r="L28" s="1">
        <v>2600286</v>
      </c>
    </row>
    <row r="29" spans="1:12">
      <c r="A29" t="s">
        <v>24</v>
      </c>
      <c r="B29">
        <f>728201+6139709</f>
        <v>6867910</v>
      </c>
      <c r="C29">
        <v>21553864</v>
      </c>
      <c r="F29">
        <v>7667779</v>
      </c>
      <c r="I29">
        <v>4528901</v>
      </c>
      <c r="K29">
        <v>1610890</v>
      </c>
      <c r="L29">
        <v>796425</v>
      </c>
    </row>
    <row r="30" spans="1:12">
      <c r="A30" s="2" t="s">
        <v>25</v>
      </c>
      <c r="B30" s="2">
        <v>1012396</v>
      </c>
      <c r="C30" s="2">
        <v>8155332</v>
      </c>
      <c r="D30" s="2">
        <v>10867468</v>
      </c>
      <c r="E30" s="2"/>
      <c r="F30" s="2"/>
      <c r="G30" s="2"/>
      <c r="H30" s="2"/>
      <c r="I30" s="2"/>
      <c r="J30" s="2">
        <v>9012042</v>
      </c>
      <c r="K30" s="2"/>
      <c r="L30" s="2">
        <v>6123092</v>
      </c>
    </row>
    <row r="31" spans="1:12">
      <c r="A31" t="s">
        <v>26</v>
      </c>
      <c r="B31">
        <f>1496095+2450103</f>
        <v>3946198</v>
      </c>
      <c r="C31">
        <v>23361097</v>
      </c>
      <c r="D31">
        <v>5714058</v>
      </c>
      <c r="J31">
        <v>12808845</v>
      </c>
      <c r="L31">
        <v>8362259</v>
      </c>
    </row>
    <row r="32" spans="1:12">
      <c r="A32" s="2" t="s">
        <v>27</v>
      </c>
      <c r="B32" s="2">
        <v>2008050</v>
      </c>
      <c r="C32" s="2">
        <v>12433179</v>
      </c>
      <c r="D32" s="2">
        <v>2122263</v>
      </c>
      <c r="E32" s="2"/>
      <c r="F32" s="2"/>
      <c r="G32" s="2">
        <v>12529836</v>
      </c>
      <c r="H32" s="2"/>
      <c r="I32" s="2"/>
      <c r="J32" s="2">
        <v>3317787</v>
      </c>
      <c r="K32" s="2"/>
      <c r="L32" s="2">
        <v>6440247</v>
      </c>
    </row>
    <row r="33" spans="1:12">
      <c r="A33" t="s">
        <v>28</v>
      </c>
      <c r="B33">
        <v>516086</v>
      </c>
      <c r="C33">
        <v>7942100</v>
      </c>
      <c r="E33">
        <v>16488221</v>
      </c>
      <c r="J33">
        <v>1690072</v>
      </c>
      <c r="K33">
        <v>1940203</v>
      </c>
      <c r="L33">
        <v>3645669</v>
      </c>
    </row>
    <row r="34" spans="1:12">
      <c r="A34" s="2" t="s">
        <v>29</v>
      </c>
      <c r="B34" s="2">
        <f>331272+1906272</f>
        <v>2237544</v>
      </c>
      <c r="C34" s="2">
        <v>15521400</v>
      </c>
      <c r="D34" s="2"/>
      <c r="E34" s="2"/>
      <c r="F34" s="2"/>
      <c r="G34" s="2">
        <v>11787192</v>
      </c>
      <c r="H34" s="2"/>
      <c r="I34" s="2"/>
      <c r="J34" s="2">
        <v>10360512</v>
      </c>
      <c r="K34" s="2"/>
      <c r="L34" s="2">
        <v>6240024</v>
      </c>
    </row>
    <row r="35" spans="1:12">
      <c r="A35" t="s">
        <v>30</v>
      </c>
      <c r="B35">
        <v>142400</v>
      </c>
      <c r="C35">
        <v>14893200</v>
      </c>
      <c r="G35">
        <v>16309440</v>
      </c>
      <c r="J35">
        <v>3921920</v>
      </c>
      <c r="L35">
        <v>9145200</v>
      </c>
    </row>
    <row r="36" spans="1:12">
      <c r="A36" s="2" t="s">
        <v>31</v>
      </c>
      <c r="B36" s="2">
        <f>2988280+5978800</f>
        <v>8967080</v>
      </c>
      <c r="C36" s="2">
        <v>32722040</v>
      </c>
      <c r="D36" s="2"/>
      <c r="E36" s="2">
        <v>18056160</v>
      </c>
      <c r="F36" s="2"/>
      <c r="G36" s="2">
        <v>7947200</v>
      </c>
      <c r="H36" s="2"/>
      <c r="I36" s="2"/>
      <c r="J36" s="2"/>
      <c r="K36" s="2">
        <v>2147640</v>
      </c>
      <c r="L36" s="2">
        <v>2504920</v>
      </c>
    </row>
    <row r="37" spans="1:12">
      <c r="A37" t="s">
        <v>32</v>
      </c>
      <c r="B37">
        <f>323208+3237012</f>
        <v>3560220</v>
      </c>
      <c r="C37">
        <v>16511832</v>
      </c>
      <c r="E37">
        <v>11169540</v>
      </c>
      <c r="J37">
        <v>2808324</v>
      </c>
      <c r="K37">
        <v>1919016</v>
      </c>
      <c r="L37">
        <v>3922200</v>
      </c>
    </row>
    <row r="38" spans="1:12">
      <c r="A38" s="2" t="s">
        <v>33</v>
      </c>
      <c r="B38" s="2">
        <f>866286+6871160</f>
        <v>7737446</v>
      </c>
      <c r="C38" s="2">
        <v>19456076</v>
      </c>
      <c r="D38" s="2"/>
      <c r="E38" s="2">
        <v>4769684</v>
      </c>
      <c r="F38" s="2"/>
      <c r="G38" s="2"/>
      <c r="H38" s="2"/>
      <c r="I38" s="2"/>
      <c r="J38" s="2">
        <v>2492344</v>
      </c>
      <c r="K38" s="2">
        <v>2847416</v>
      </c>
      <c r="L38" s="2">
        <v>1886320</v>
      </c>
    </row>
    <row r="39" spans="1:12">
      <c r="A39" t="s">
        <v>34</v>
      </c>
      <c r="B39">
        <f>1543085+1513781</f>
        <v>3056866</v>
      </c>
      <c r="C39">
        <v>14886617</v>
      </c>
      <c r="F39">
        <v>8977606</v>
      </c>
      <c r="K39">
        <v>5486397</v>
      </c>
      <c r="L39">
        <v>7182107</v>
      </c>
    </row>
    <row r="40" spans="1:12">
      <c r="A40" s="2" t="s">
        <v>35</v>
      </c>
      <c r="B40" s="2">
        <v>4915642</v>
      </c>
      <c r="C40" s="2">
        <v>27118396</v>
      </c>
      <c r="D40" s="2"/>
      <c r="E40" s="2"/>
      <c r="F40" s="2">
        <v>5793936</v>
      </c>
      <c r="G40" s="2"/>
      <c r="H40" s="2">
        <v>422028</v>
      </c>
      <c r="I40" s="2"/>
      <c r="J40" s="2"/>
      <c r="K40" s="2">
        <v>11804244</v>
      </c>
      <c r="L40" s="2">
        <v>3156052</v>
      </c>
    </row>
    <row r="41" spans="1:12">
      <c r="A41" t="s">
        <v>36</v>
      </c>
      <c r="B41">
        <f>2708472+7879989</f>
        <v>10588461</v>
      </c>
      <c r="C41">
        <v>26664222</v>
      </c>
      <c r="F41">
        <v>8735220</v>
      </c>
      <c r="H41">
        <v>500799</v>
      </c>
      <c r="K41">
        <v>3422289</v>
      </c>
      <c r="L41">
        <v>8246979</v>
      </c>
    </row>
    <row r="42" spans="1:12">
      <c r="A42" s="2" t="s">
        <v>37</v>
      </c>
      <c r="B42" s="2">
        <f>629104+3277786</f>
        <v>3906890</v>
      </c>
      <c r="C42" s="2">
        <v>20808115</v>
      </c>
      <c r="D42" s="2"/>
      <c r="E42" s="2"/>
      <c r="F42" s="2">
        <v>1481084</v>
      </c>
      <c r="G42" s="2"/>
      <c r="H42" s="2">
        <v>4773999</v>
      </c>
      <c r="I42" s="2"/>
      <c r="J42" s="2"/>
      <c r="K42" s="2">
        <v>4585030</v>
      </c>
      <c r="L42" s="2">
        <v>3851089</v>
      </c>
    </row>
    <row r="43" spans="1:12">
      <c r="A43" t="s">
        <v>38</v>
      </c>
      <c r="B43">
        <f>981499+3325961</f>
        <v>4307460</v>
      </c>
      <c r="C43">
        <v>25427298</v>
      </c>
      <c r="H43">
        <v>9352879</v>
      </c>
      <c r="K43">
        <v>2630191</v>
      </c>
      <c r="L43">
        <v>1085557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壮平 真島</dc:creator>
  <cp:lastModifiedBy>壮平 真島</cp:lastModifiedBy>
  <dcterms:created xsi:type="dcterms:W3CDTF">2025-05-14T14:51:52Z</dcterms:created>
  <dcterms:modified xsi:type="dcterms:W3CDTF">2025-06-02T19:14:18Z</dcterms:modified>
</cp:coreProperties>
</file>